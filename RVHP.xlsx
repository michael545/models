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\Documents\models\models\"/>
    </mc:Choice>
  </mc:AlternateContent>
  <xr:revisionPtr revIDLastSave="0" documentId="13_ncr:1_{6C078126-98D8-4945-9926-CEC34AC84360}" xr6:coauthVersionLast="47" xr6:coauthVersionMax="47" xr10:uidLastSave="{00000000-0000-0000-0000-000000000000}"/>
  <bookViews>
    <workbookView xWindow="-120" yWindow="-120" windowWidth="29040" windowHeight="15990" activeTab="2" xr2:uid="{7A1D45B4-DF5B-42E3-9D70-4CD0D41444C9}"/>
  </bookViews>
  <sheets>
    <sheet name="Main" sheetId="1" r:id="rId1"/>
    <sheet name="brilaroxazine" sheetId="2" r:id="rId2"/>
    <sheet name="Trial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1" l="1"/>
  <c r="M5" i="1"/>
  <c r="M8" i="1" s="1"/>
</calcChain>
</file>

<file path=xl/sharedStrings.xml><?xml version="1.0" encoding="utf-8"?>
<sst xmlns="http://schemas.openxmlformats.org/spreadsheetml/2006/main" count="61" uniqueCount="50">
  <si>
    <t>Price</t>
  </si>
  <si>
    <t>Shares</t>
  </si>
  <si>
    <t>MC</t>
  </si>
  <si>
    <t>Cash</t>
  </si>
  <si>
    <t>Debt</t>
  </si>
  <si>
    <t>EV</t>
  </si>
  <si>
    <t>Q424</t>
  </si>
  <si>
    <t>Name</t>
  </si>
  <si>
    <t>MOA</t>
  </si>
  <si>
    <t>Indication</t>
  </si>
  <si>
    <t>MDD</t>
  </si>
  <si>
    <t>RP5063 (brilaroxazine)</t>
  </si>
  <si>
    <t>Schizophrenia Acute/stable</t>
  </si>
  <si>
    <t>ADD</t>
  </si>
  <si>
    <t>ADHD</t>
  </si>
  <si>
    <t>partial agonist of D2, D3, D4 and 5-HT1A receptors, and as an antagonist of 5-HT2A, 5-HT2B, 5-HT2C, 5-HT6 and 5-HT7 receptors</t>
  </si>
  <si>
    <t>Founded</t>
  </si>
  <si>
    <t>Main</t>
  </si>
  <si>
    <t>Brand</t>
  </si>
  <si>
    <t>Generic</t>
  </si>
  <si>
    <t>ADME</t>
  </si>
  <si>
    <t>SMILES</t>
  </si>
  <si>
    <t>IUPAC</t>
  </si>
  <si>
    <t>MW</t>
  </si>
  <si>
    <t>Competition</t>
  </si>
  <si>
    <t>Clinical Trials</t>
  </si>
  <si>
    <t>RP5063</t>
  </si>
  <si>
    <t>LogP - 4.14</t>
  </si>
  <si>
    <t>as per Chemaxon</t>
  </si>
  <si>
    <t>ClC1=C(Cl)C(=CC=C1)N1CCN(CCCCOC2=CC=C3OCC(=O)NC3=C2)CC1</t>
  </si>
  <si>
    <t>6-{4-[4-(2,3-dichlorophenyl)piperazin-1-yl]butoxy}-3,4-dihydro-2H-1,4-benzoxazin-3-one</t>
  </si>
  <si>
    <t>Aripiprazole, Olanzapine, Risperidone, and Clozapine[positive symptoms] ,Lurasidone and Quetiapine</t>
  </si>
  <si>
    <t>BioAval.</t>
  </si>
  <si>
    <t>Ziprasidone (Geodon)</t>
  </si>
  <si>
    <t>Risperidone (Risperdal)</t>
  </si>
  <si>
    <t>Lurasidone (Latuda)</t>
  </si>
  <si>
    <t>Quetiapine (Seroquel)</t>
  </si>
  <si>
    <t>Clozapine (Clozaril)</t>
  </si>
  <si>
    <t>Olanzapine (Zyprexa)</t>
  </si>
  <si>
    <t>Aripiprazole (Abilify)</t>
  </si>
  <si>
    <t>oxaripiprazole, Brilaroxazine</t>
  </si>
  <si>
    <t>https://clinicaltrials.gov/study/NCT05184335?term=Reviva&amp;intr=Brilaroxazine%20&amp;rank=1</t>
  </si>
  <si>
    <t>RP1208</t>
  </si>
  <si>
    <t>San Jose</t>
  </si>
  <si>
    <t>Hq.</t>
  </si>
  <si>
    <t>Cash. Val</t>
  </si>
  <si>
    <t>NCT05184335</t>
  </si>
  <si>
    <t>The total duration of the study is 56 weeks (28 days/4 weeks DB treatment and 52-weeks OL treatment).</t>
  </si>
  <si>
    <t>Goal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</si>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</sst>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2"/>
      <color rgb="FF171716"/>
      <name val="Roboto"/>
    </font>
    <font>
      <b/>
      <sz val="12"/>
      <color rgb="FF202122"/>
      <name val="Arial"/>
      <family val="2"/>
    </font>
    <font>
      <sz val="12"/>
      <color theme="1"/>
      <name val="Calibri"/>
      <family val="2"/>
      <charset val="238"/>
      <scheme val="minor"/>
    </font>
    <font>
      <u/>
      <sz val="12"/>
      <color theme="1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B1B1B"/>
      <name val="Roboto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2" fontId="0" fillId="0" borderId="0" xfId="0" applyNumberFormat="1"/>
    <xf numFmtId="0" fontId="2" fillId="0" borderId="0" xfId="1"/>
    <xf numFmtId="0" fontId="2" fillId="0" borderId="9" xfId="1" applyBorder="1"/>
    <xf numFmtId="0" fontId="4" fillId="0" borderId="0" xfId="0" applyFont="1"/>
    <xf numFmtId="0" fontId="5" fillId="0" borderId="0" xfId="0" applyFont="1"/>
    <xf numFmtId="0" fontId="6" fillId="0" borderId="0" xfId="1" applyFont="1"/>
    <xf numFmtId="0" fontId="1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Border="1"/>
    <xf numFmtId="0" fontId="0" fillId="0" borderId="10" xfId="0" applyBorder="1"/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394666</xdr:colOff>
      <xdr:row>1</xdr:row>
      <xdr:rowOff>98563</xdr:rowOff>
    </xdr:from>
    <xdr:to>
      <xdr:col>23</xdr:col>
      <xdr:colOff>452249</xdr:colOff>
      <xdr:row>29</xdr:row>
      <xdr:rowOff>27272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F552A4-C013-6496-9637-746D6E508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21623" y="297346"/>
          <a:ext cx="3122148" cy="5478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298173</xdr:colOff>
      <xdr:row>12</xdr:row>
      <xdr:rowOff>74543</xdr:rowOff>
    </xdr:from>
    <xdr:to>
      <xdr:col>18</xdr:col>
      <xdr:colOff>509317</xdr:colOff>
      <xdr:row>27</xdr:row>
      <xdr:rowOff>120628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1B0759-1823-4AB3-88EB-4FBE3FFF4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21825" y="2451652"/>
          <a:ext cx="5114449" cy="30278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F018-08FD-4FE7-85E3-2CD44ADC453D}">
  <dimension ref="C1:P15"/>
  <sheetViews>
    <sheetView zoomScale="130" zoomScaleNormal="130" workbookViewId="0">
      <selection activeCell="C4" sqref="C4"/>
    </sheetView>
  </sheetViews>
  <sheetFormatPr defaultRowHeight="15" x14ac:dyDescent="0.25"/>
  <cols>
    <col min="3" max="3" width="23.7109375" customWidth="1"/>
    <col min="4" max="4" width="17.140625" customWidth="1"/>
    <col min="5" max="5" width="17.42578125" customWidth="1"/>
  </cols>
  <sheetData>
    <row r="1" spans="3:16" x14ac:dyDescent="0.25">
      <c r="G1" s="23"/>
      <c r="H1" s="23"/>
      <c r="I1" s="23"/>
      <c r="J1" s="23"/>
    </row>
    <row r="2" spans="3:16" x14ac:dyDescent="0.25">
      <c r="G2" s="23"/>
      <c r="H2" s="23"/>
      <c r="I2" s="23"/>
      <c r="J2" s="23"/>
    </row>
    <row r="3" spans="3:16" x14ac:dyDescent="0.25">
      <c r="C3" s="5" t="s">
        <v>7</v>
      </c>
      <c r="D3" s="6" t="s">
        <v>8</v>
      </c>
      <c r="E3" s="6" t="s">
        <v>9</v>
      </c>
      <c r="F3" s="7"/>
      <c r="G3" s="23"/>
      <c r="H3" s="23"/>
      <c r="I3" s="23"/>
      <c r="J3" s="23"/>
      <c r="L3" t="s">
        <v>0</v>
      </c>
      <c r="M3" s="1">
        <v>1.67</v>
      </c>
      <c r="N3" s="3" t="s">
        <v>6</v>
      </c>
    </row>
    <row r="4" spans="3:16" x14ac:dyDescent="0.25">
      <c r="C4" s="16" t="s">
        <v>11</v>
      </c>
      <c r="D4" t="s">
        <v>15</v>
      </c>
      <c r="E4" t="s">
        <v>12</v>
      </c>
      <c r="F4" s="24"/>
      <c r="G4" s="23"/>
      <c r="H4" s="23"/>
      <c r="I4" s="23"/>
      <c r="J4" s="23"/>
      <c r="L4" t="s">
        <v>1</v>
      </c>
      <c r="M4" s="4">
        <v>29.8</v>
      </c>
      <c r="N4" s="3" t="s">
        <v>6</v>
      </c>
    </row>
    <row r="5" spans="3:16" x14ac:dyDescent="0.25">
      <c r="C5" s="9"/>
      <c r="E5" t="s">
        <v>13</v>
      </c>
      <c r="F5" s="8"/>
      <c r="G5" s="23"/>
      <c r="H5" s="23"/>
      <c r="I5" s="23"/>
      <c r="J5" s="23"/>
      <c r="L5" t="s">
        <v>2</v>
      </c>
      <c r="M5" s="4">
        <f>+M3*M4</f>
        <v>49.765999999999998</v>
      </c>
      <c r="N5" s="3" t="s">
        <v>6</v>
      </c>
    </row>
    <row r="6" spans="3:16" x14ac:dyDescent="0.25">
      <c r="C6" s="9"/>
      <c r="E6" t="s">
        <v>14</v>
      </c>
      <c r="F6" s="8"/>
      <c r="G6" s="23"/>
      <c r="H6" s="23"/>
      <c r="I6" s="23"/>
      <c r="J6" s="23"/>
      <c r="L6" t="s">
        <v>3</v>
      </c>
      <c r="M6" s="2">
        <v>5.5</v>
      </c>
      <c r="N6" s="3" t="s">
        <v>6</v>
      </c>
    </row>
    <row r="7" spans="3:16" x14ac:dyDescent="0.25">
      <c r="C7" s="9"/>
      <c r="E7" t="s">
        <v>10</v>
      </c>
      <c r="F7" s="8"/>
      <c r="G7" s="23"/>
      <c r="H7" s="23"/>
      <c r="I7" s="23"/>
      <c r="J7" s="23"/>
      <c r="L7" t="s">
        <v>4</v>
      </c>
      <c r="M7" s="2">
        <v>17</v>
      </c>
      <c r="N7" s="3" t="s">
        <v>6</v>
      </c>
    </row>
    <row r="8" spans="3:16" x14ac:dyDescent="0.25">
      <c r="C8" s="9" t="s">
        <v>42</v>
      </c>
      <c r="F8" s="8"/>
      <c r="G8" s="23"/>
      <c r="H8" s="23"/>
      <c r="I8" s="23"/>
      <c r="J8" s="23"/>
      <c r="L8" t="s">
        <v>5</v>
      </c>
      <c r="M8" s="2">
        <f>+M5-M6+M7</f>
        <v>61.265999999999998</v>
      </c>
      <c r="N8" s="3" t="s">
        <v>6</v>
      </c>
    </row>
    <row r="9" spans="3:16" x14ac:dyDescent="0.25">
      <c r="C9" s="9"/>
      <c r="F9" s="8"/>
      <c r="G9" s="23"/>
      <c r="H9" s="23"/>
      <c r="I9" s="23"/>
      <c r="J9" s="23"/>
      <c r="N9" s="3" t="s">
        <v>6</v>
      </c>
    </row>
    <row r="10" spans="3:16" x14ac:dyDescent="0.25">
      <c r="C10" s="10"/>
      <c r="D10" s="11"/>
      <c r="E10" s="11"/>
      <c r="F10" s="12"/>
      <c r="G10" s="23"/>
      <c r="H10" s="23"/>
      <c r="I10" s="23"/>
      <c r="J10" s="23"/>
      <c r="L10" t="s">
        <v>45</v>
      </c>
      <c r="M10" s="14">
        <f>+M6/M4</f>
        <v>0.18456375838926173</v>
      </c>
      <c r="N10" s="3" t="s">
        <v>6</v>
      </c>
    </row>
    <row r="11" spans="3:16" x14ac:dyDescent="0.25">
      <c r="G11" s="23"/>
      <c r="H11" s="23"/>
      <c r="I11" s="23"/>
      <c r="J11" s="23"/>
      <c r="O11" s="2"/>
      <c r="P11" s="3"/>
    </row>
    <row r="12" spans="3:16" x14ac:dyDescent="0.25">
      <c r="G12" s="23"/>
      <c r="H12" s="23"/>
      <c r="I12" s="23"/>
      <c r="J12" s="23"/>
      <c r="O12" s="2"/>
      <c r="P12" s="3"/>
    </row>
    <row r="14" spans="3:16" x14ac:dyDescent="0.25">
      <c r="L14" t="s">
        <v>16</v>
      </c>
    </row>
    <row r="15" spans="3:16" x14ac:dyDescent="0.25">
      <c r="L15" t="s">
        <v>44</v>
      </c>
      <c r="M15" t="s">
        <v>43</v>
      </c>
    </row>
  </sheetData>
  <hyperlinks>
    <hyperlink ref="C4" location="brilaroxazine!A1" display="RP5063 (brilaroxazine)" xr:uid="{4FAD2F78-FD24-472E-86F8-83C33D5EAE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FDBEC-1381-4B73-80C5-F919AD921530}">
  <dimension ref="A1:J28"/>
  <sheetViews>
    <sheetView zoomScale="115" zoomScaleNormal="115" workbookViewId="0">
      <selection activeCell="C22" sqref="C22"/>
    </sheetView>
  </sheetViews>
  <sheetFormatPr defaultRowHeight="15" x14ac:dyDescent="0.25"/>
  <cols>
    <col min="3" max="3" width="19.140625" customWidth="1"/>
    <col min="4" max="4" width="12.7109375" customWidth="1"/>
  </cols>
  <sheetData>
    <row r="1" spans="1:10" ht="15.75" x14ac:dyDescent="0.25">
      <c r="A1" s="19" t="s">
        <v>17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5.75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</row>
    <row r="3" spans="1:10" ht="15.75" x14ac:dyDescent="0.25">
      <c r="A3" s="18"/>
      <c r="B3" s="18"/>
      <c r="C3" s="22" t="s">
        <v>18</v>
      </c>
      <c r="D3" s="18" t="s">
        <v>26</v>
      </c>
      <c r="E3" s="18"/>
      <c r="F3" s="18"/>
      <c r="G3" s="18"/>
      <c r="H3" s="18"/>
      <c r="I3" s="18"/>
      <c r="J3" s="18"/>
    </row>
    <row r="4" spans="1:10" ht="15.75" x14ac:dyDescent="0.25">
      <c r="A4" s="18"/>
      <c r="B4" s="18"/>
      <c r="C4" s="22" t="s">
        <v>19</v>
      </c>
      <c r="D4" s="17" t="s">
        <v>40</v>
      </c>
      <c r="E4" s="18"/>
      <c r="F4" s="17"/>
      <c r="G4" s="18"/>
      <c r="H4" s="18"/>
      <c r="I4" s="18"/>
      <c r="J4" s="18"/>
    </row>
    <row r="5" spans="1:10" ht="15.75" x14ac:dyDescent="0.25">
      <c r="A5" s="18"/>
      <c r="B5" s="18"/>
      <c r="C5" s="22" t="s">
        <v>8</v>
      </c>
      <c r="D5" s="18" t="s">
        <v>15</v>
      </c>
      <c r="E5" s="18"/>
      <c r="F5" s="18"/>
      <c r="G5" s="18"/>
      <c r="H5" s="18"/>
      <c r="I5" s="18"/>
      <c r="J5" s="18"/>
    </row>
    <row r="6" spans="1:10" ht="15.75" x14ac:dyDescent="0.25">
      <c r="A6" s="18"/>
      <c r="B6" s="18"/>
      <c r="C6" s="22" t="s">
        <v>32</v>
      </c>
      <c r="D6" s="18">
        <v>1</v>
      </c>
      <c r="E6" s="18" t="s">
        <v>28</v>
      </c>
      <c r="F6" s="18"/>
      <c r="G6" s="18"/>
      <c r="H6" s="18"/>
      <c r="I6" s="18"/>
      <c r="J6" s="18"/>
    </row>
    <row r="7" spans="1:10" ht="15" customHeight="1" x14ac:dyDescent="0.25">
      <c r="A7" s="18"/>
      <c r="B7" s="18"/>
      <c r="C7" s="22" t="s">
        <v>20</v>
      </c>
      <c r="D7" s="18" t="s">
        <v>27</v>
      </c>
      <c r="E7" s="18" t="s">
        <v>28</v>
      </c>
      <c r="F7" s="18"/>
      <c r="G7" s="18"/>
      <c r="H7" s="18"/>
      <c r="I7" s="18"/>
      <c r="J7" s="18"/>
    </row>
    <row r="8" spans="1:10" ht="15.75" x14ac:dyDescent="0.25">
      <c r="A8" s="18"/>
      <c r="B8" s="18"/>
      <c r="C8" s="22" t="s">
        <v>21</v>
      </c>
      <c r="D8" s="18" t="s">
        <v>29</v>
      </c>
      <c r="E8" s="18"/>
      <c r="F8" s="18"/>
      <c r="G8" s="18"/>
      <c r="H8" s="18"/>
      <c r="I8" s="18"/>
      <c r="J8" s="18"/>
    </row>
    <row r="9" spans="1:10" ht="15.75" x14ac:dyDescent="0.25">
      <c r="A9" s="18"/>
      <c r="B9" s="18"/>
      <c r="C9" s="22" t="s">
        <v>22</v>
      </c>
      <c r="D9" s="18" t="s">
        <v>30</v>
      </c>
      <c r="E9" s="18"/>
      <c r="F9" s="18"/>
      <c r="G9" s="18"/>
      <c r="H9" s="18"/>
      <c r="I9" s="18"/>
      <c r="J9" s="18"/>
    </row>
    <row r="10" spans="1:10" ht="15.75" x14ac:dyDescent="0.25">
      <c r="A10" s="18"/>
      <c r="B10" s="18"/>
      <c r="C10" s="22" t="s">
        <v>23</v>
      </c>
      <c r="D10" s="18">
        <v>450</v>
      </c>
      <c r="E10" s="18"/>
      <c r="F10" s="18"/>
      <c r="G10" s="18"/>
      <c r="H10" s="18"/>
      <c r="I10" s="18"/>
      <c r="J10" s="18"/>
    </row>
    <row r="11" spans="1:10" ht="15.75" x14ac:dyDescent="0.25">
      <c r="A11" s="18"/>
      <c r="B11" s="18"/>
      <c r="C11" s="22" t="s">
        <v>24</v>
      </c>
      <c r="D11" t="s">
        <v>31</v>
      </c>
      <c r="E11" s="18"/>
      <c r="F11" s="18"/>
      <c r="G11" s="18"/>
      <c r="H11" s="18"/>
      <c r="I11" s="18"/>
      <c r="J11" s="18"/>
    </row>
    <row r="12" spans="1:10" ht="15.75" x14ac:dyDescent="0.25">
      <c r="A12" s="18"/>
      <c r="B12" s="18"/>
      <c r="C12" s="22"/>
      <c r="E12" s="18"/>
      <c r="F12" s="18"/>
      <c r="G12" s="18"/>
      <c r="H12" s="18"/>
      <c r="I12" s="18"/>
      <c r="J12" s="18"/>
    </row>
    <row r="13" spans="1:10" ht="15.75" x14ac:dyDescent="0.25">
      <c r="A13" s="18"/>
      <c r="B13" s="18"/>
      <c r="C13" t="s">
        <v>33</v>
      </c>
      <c r="E13" s="18"/>
      <c r="F13" s="18"/>
      <c r="G13" s="18"/>
      <c r="H13" s="18"/>
      <c r="I13" s="18"/>
      <c r="J13" s="18"/>
    </row>
    <row r="14" spans="1:10" ht="15.75" x14ac:dyDescent="0.25">
      <c r="A14" s="18"/>
      <c r="B14" s="18"/>
      <c r="C14" t="s">
        <v>34</v>
      </c>
      <c r="E14" s="18"/>
      <c r="F14" s="18"/>
      <c r="G14" s="18"/>
      <c r="H14" s="18"/>
      <c r="I14" s="18"/>
      <c r="J14" s="18"/>
    </row>
    <row r="15" spans="1:10" ht="15.75" x14ac:dyDescent="0.25">
      <c r="A15" s="18"/>
      <c r="B15" s="18"/>
      <c r="C15" s="21" t="s">
        <v>35</v>
      </c>
      <c r="E15" s="18"/>
      <c r="F15" s="18"/>
      <c r="G15" s="18"/>
      <c r="H15" s="18"/>
      <c r="I15" s="18"/>
      <c r="J15" s="18"/>
    </row>
    <row r="16" spans="1:10" ht="15.75" x14ac:dyDescent="0.25">
      <c r="A16" s="18"/>
      <c r="B16" s="18"/>
      <c r="C16" t="s">
        <v>36</v>
      </c>
      <c r="E16" s="18"/>
      <c r="F16" s="18"/>
      <c r="G16" s="18"/>
      <c r="H16" s="18"/>
      <c r="I16" s="18"/>
      <c r="J16" s="18"/>
    </row>
    <row r="17" spans="1:10" ht="15.75" x14ac:dyDescent="0.25">
      <c r="A17" s="18"/>
      <c r="B17" s="18"/>
      <c r="C17" t="s">
        <v>37</v>
      </c>
      <c r="E17" s="18"/>
      <c r="F17" s="18"/>
      <c r="G17" s="18"/>
      <c r="H17" s="18"/>
      <c r="I17" s="18"/>
      <c r="J17" s="18"/>
    </row>
    <row r="18" spans="1:10" ht="15.75" x14ac:dyDescent="0.25">
      <c r="A18" s="18"/>
      <c r="B18" s="18"/>
      <c r="C18" t="s">
        <v>38</v>
      </c>
      <c r="E18" s="18"/>
      <c r="F18" s="18"/>
      <c r="G18" s="18"/>
      <c r="H18" s="18"/>
      <c r="I18" s="18"/>
      <c r="J18" s="18"/>
    </row>
    <row r="19" spans="1:10" ht="15.75" x14ac:dyDescent="0.25">
      <c r="A19" s="18"/>
      <c r="B19" s="18"/>
      <c r="C19" t="s">
        <v>39</v>
      </c>
      <c r="E19" s="18"/>
      <c r="F19" s="18"/>
      <c r="G19" s="18"/>
      <c r="H19" s="18"/>
      <c r="I19" s="18"/>
      <c r="J19" s="18"/>
    </row>
    <row r="20" spans="1:10" ht="15.75" x14ac:dyDescent="0.25">
      <c r="A20" s="18"/>
      <c r="B20" s="18"/>
      <c r="E20" s="18"/>
      <c r="F20" s="18"/>
      <c r="G20" s="18"/>
      <c r="H20" s="18"/>
      <c r="I20" s="18"/>
      <c r="J20" s="18"/>
    </row>
    <row r="21" spans="1:10" ht="15.75" x14ac:dyDescent="0.25">
      <c r="A21" s="18"/>
      <c r="B21" s="18"/>
      <c r="C21" s="20"/>
      <c r="E21" s="18"/>
      <c r="F21" s="18"/>
      <c r="G21" s="18"/>
      <c r="H21" s="18"/>
      <c r="I21" s="18"/>
      <c r="J21" s="18"/>
    </row>
    <row r="22" spans="1:10" ht="15.75" x14ac:dyDescent="0.25">
      <c r="A22" s="18"/>
      <c r="B22" s="18"/>
      <c r="C22" s="15" t="s">
        <v>25</v>
      </c>
      <c r="D22" s="18"/>
      <c r="E22" s="18"/>
      <c r="F22" s="18"/>
      <c r="G22" s="18"/>
      <c r="H22" s="18"/>
      <c r="I22" s="18"/>
      <c r="J22" s="18"/>
    </row>
    <row r="23" spans="1:10" ht="15.75" x14ac:dyDescent="0.25">
      <c r="A23" s="18"/>
      <c r="B23" s="18"/>
      <c r="C23" s="18" t="s">
        <v>41</v>
      </c>
      <c r="D23" s="18"/>
      <c r="E23" s="18"/>
      <c r="F23" s="18"/>
      <c r="G23" s="18"/>
      <c r="H23" s="18"/>
      <c r="I23" s="18"/>
      <c r="J23" s="18"/>
    </row>
    <row r="24" spans="1:10" ht="15.75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</row>
  </sheetData>
  <hyperlinks>
    <hyperlink ref="A1" location="Main!A1" display="Main" xr:uid="{62762962-8B11-4723-B541-BC1B6D5E069E}"/>
    <hyperlink ref="C22" location="Trial!A1" display="Clinical Trials" xr:uid="{D0E1C47C-011E-4894-B1A2-4C92681F162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FECC0-655B-4808-B63E-CEE28B59A39D}">
  <dimension ref="A1:C4"/>
  <sheetViews>
    <sheetView tabSelected="1" workbookViewId="0">
      <selection activeCell="B5" sqref="B5"/>
    </sheetView>
  </sheetViews>
  <sheetFormatPr defaultRowHeight="15" x14ac:dyDescent="0.25"/>
  <sheetData>
    <row r="1" spans="1:3" x14ac:dyDescent="0.25">
      <c r="A1" s="15" t="s">
        <v>17</v>
      </c>
    </row>
    <row r="3" spans="1:3" ht="15.75" x14ac:dyDescent="0.25">
      <c r="B3" s="26" t="s">
        <v>49</v>
      </c>
      <c r="C3" s="25" t="s">
        <v>46</v>
      </c>
    </row>
    <row r="4" spans="1:3" ht="15.75" x14ac:dyDescent="0.25">
      <c r="B4" s="26" t="s">
        <v>48</v>
      </c>
      <c r="C4" s="13" t="s">
        <v>47</v>
      </c>
    </row>
  </sheetData>
  <hyperlinks>
    <hyperlink ref="A1" location="Main!A1" display="Main" xr:uid="{276F7395-BC14-456A-B952-0192CED2AC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brilaroxazine</vt:lpstr>
      <vt:lpstr>Trial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Valand</dc:creator>
  <cp:lastModifiedBy>Michael Valand</cp:lastModifiedBy>
  <dcterms:created xsi:type="dcterms:W3CDTF">2024-12-07T15:54:35Z</dcterms:created>
  <dcterms:modified xsi:type="dcterms:W3CDTF">2024-12-07T18:56:54Z</dcterms:modified>
</cp:coreProperties>
</file>