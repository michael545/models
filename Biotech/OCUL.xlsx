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icha\code\_mine_models\Biotech\"/>
    </mc:Choice>
  </mc:AlternateContent>
  <xr:revisionPtr revIDLastSave="0" documentId="13_ncr:1_{B32F7B8C-4386-411B-B497-F667ED770482}" xr6:coauthVersionLast="47" xr6:coauthVersionMax="47" xr10:uidLastSave="{00000000-0000-0000-0000-000000000000}"/>
  <bookViews>
    <workbookView xWindow="5445" yWindow="3225" windowWidth="18210" windowHeight="15345" activeTab="1" xr2:uid="{00000000-000D-0000-FFFF-FFFF00000000}"/>
  </bookViews>
  <sheets>
    <sheet name="Main" sheetId="1" r:id="rId1"/>
    <sheet name="Axpaxl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" i="1" l="1"/>
  <c r="G9" i="1" s="1"/>
</calcChain>
</file>

<file path=xl/sharedStrings.xml><?xml version="1.0" encoding="utf-8"?>
<sst xmlns="http://schemas.openxmlformats.org/spreadsheetml/2006/main" count="25" uniqueCount="25">
  <si>
    <t>Price</t>
  </si>
  <si>
    <t>Shares</t>
  </si>
  <si>
    <t>Cap</t>
  </si>
  <si>
    <t>Cash</t>
  </si>
  <si>
    <t>Debt</t>
  </si>
  <si>
    <t>EV</t>
  </si>
  <si>
    <t>bioresorbable hydrogel-based formulation technology</t>
  </si>
  <si>
    <t>CEO</t>
  </si>
  <si>
    <t xml:space="preserve">HQ </t>
  </si>
  <si>
    <t>Founded</t>
  </si>
  <si>
    <t>Pravin Dugel</t>
  </si>
  <si>
    <t>Bedford, MA</t>
  </si>
  <si>
    <t xml:space="preserve">AXPAXLI(OTX-TKI), </t>
  </si>
  <si>
    <t>an investigational axitinib hydrogel administered by intravitreal injection,</t>
  </si>
  <si>
    <t xml:space="preserve">Moa </t>
  </si>
  <si>
    <t>Drug</t>
  </si>
  <si>
    <t>MoA</t>
  </si>
  <si>
    <t>Phase</t>
  </si>
  <si>
    <t>Claim</t>
  </si>
  <si>
    <t>III</t>
  </si>
  <si>
    <t>Main</t>
  </si>
  <si>
    <t>Axpaxli</t>
  </si>
  <si>
    <t>wet AMD</t>
  </si>
  <si>
    <t xml:space="preserve">Ingredient </t>
  </si>
  <si>
    <t>axitinib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</si>
</sst>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2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19"/>
  <sheetViews>
    <sheetView workbookViewId="0">
      <selection activeCell="C10" sqref="C10"/>
    </sheetView>
  </sheetViews>
  <sheetFormatPr defaultRowHeight="15" x14ac:dyDescent="0.25"/>
  <sheetData>
    <row r="4" spans="2:7" x14ac:dyDescent="0.25">
      <c r="F4" t="s">
        <v>0</v>
      </c>
      <c r="G4">
        <v>9.07</v>
      </c>
    </row>
    <row r="5" spans="2:7" x14ac:dyDescent="0.25">
      <c r="F5" t="s">
        <v>1</v>
      </c>
      <c r="G5">
        <v>213</v>
      </c>
    </row>
    <row r="6" spans="2:7" x14ac:dyDescent="0.25">
      <c r="F6" t="s">
        <v>2</v>
      </c>
      <c r="G6">
        <f>+G5*G4</f>
        <v>1931.91</v>
      </c>
    </row>
    <row r="7" spans="2:7" x14ac:dyDescent="0.25">
      <c r="F7" t="s">
        <v>3</v>
      </c>
      <c r="G7">
        <v>344</v>
      </c>
    </row>
    <row r="8" spans="2:7" x14ac:dyDescent="0.25">
      <c r="F8" t="s">
        <v>4</v>
      </c>
      <c r="G8">
        <v>70.599999999999994</v>
      </c>
    </row>
    <row r="9" spans="2:7" x14ac:dyDescent="0.25">
      <c r="F9" t="s">
        <v>5</v>
      </c>
      <c r="G9">
        <f>+G6-G7+G8</f>
        <v>1658.51</v>
      </c>
    </row>
    <row r="11" spans="2:7" x14ac:dyDescent="0.25">
      <c r="B11" t="s">
        <v>6</v>
      </c>
    </row>
    <row r="13" spans="2:7" x14ac:dyDescent="0.25">
      <c r="F13" t="s">
        <v>7</v>
      </c>
      <c r="G13" t="s">
        <v>10</v>
      </c>
    </row>
    <row r="14" spans="2:7" ht="16.5" x14ac:dyDescent="0.3">
      <c r="F14" t="s">
        <v>8</v>
      </c>
      <c r="G14" s="1" t="s">
        <v>11</v>
      </c>
    </row>
    <row r="15" spans="2:7" x14ac:dyDescent="0.25">
      <c r="F15" t="s">
        <v>9</v>
      </c>
    </row>
    <row r="18" spans="1:4" x14ac:dyDescent="0.25">
      <c r="A18" t="s">
        <v>15</v>
      </c>
      <c r="B18" t="s">
        <v>16</v>
      </c>
      <c r="C18" t="s">
        <v>18</v>
      </c>
      <c r="D18" t="s">
        <v>17</v>
      </c>
    </row>
    <row r="19" spans="1:4" x14ac:dyDescent="0.25">
      <c r="A19" t="s">
        <v>21</v>
      </c>
      <c r="C19" t="s">
        <v>22</v>
      </c>
      <c r="D19" t="s">
        <v>19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2FB33-D15E-4E7F-B265-DE7BF45BE224}">
  <dimension ref="A1:C4"/>
  <sheetViews>
    <sheetView tabSelected="1" workbookViewId="0">
      <selection activeCell="G9" sqref="G9"/>
    </sheetView>
  </sheetViews>
  <sheetFormatPr defaultRowHeight="15" x14ac:dyDescent="0.25"/>
  <cols>
    <col min="2" max="2" width="20.42578125" bestFit="1" customWidth="1"/>
  </cols>
  <sheetData>
    <row r="1" spans="1:3" x14ac:dyDescent="0.25">
      <c r="A1" s="3" t="s">
        <v>20</v>
      </c>
    </row>
    <row r="2" spans="1:3" ht="17.25" x14ac:dyDescent="0.3">
      <c r="B2" s="2" t="s">
        <v>12</v>
      </c>
      <c r="C2" t="s">
        <v>13</v>
      </c>
    </row>
    <row r="3" spans="1:3" x14ac:dyDescent="0.25">
      <c r="B3" t="s">
        <v>14</v>
      </c>
    </row>
    <row r="4" spans="1:3" x14ac:dyDescent="0.25">
      <c r="B4" t="s">
        <v>23</v>
      </c>
      <c r="C4" t="s">
        <v>24</v>
      </c>
    </row>
  </sheetData>
  <hyperlinks>
    <hyperlink ref="A1" location="Main!A1" display="Main" xr:uid="{3167CA33-B9EF-4CD7-9082-F44B5A03C3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Axpaxli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Valand</dc:creator>
  <cp:lastModifiedBy>Michael Valand</cp:lastModifiedBy>
  <dcterms:created xsi:type="dcterms:W3CDTF">2015-06-05T18:17:20Z</dcterms:created>
  <dcterms:modified xsi:type="dcterms:W3CDTF">2026-01-30T20:50:31Z</dcterms:modified>
</cp:coreProperties>
</file>