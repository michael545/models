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code\_mine_models\Biotech\"/>
    </mc:Choice>
  </mc:AlternateContent>
  <xr:revisionPtr revIDLastSave="0" documentId="13_ncr:1_{9D36AA23-E756-415C-8410-6CF070896421}" xr6:coauthVersionLast="47" xr6:coauthVersionMax="47" xr10:uidLastSave="{00000000-0000-0000-0000-000000000000}"/>
  <bookViews>
    <workbookView xWindow="2040" yWindow="3090" windowWidth="28800" windowHeight="15345" activeTab="1" xr2:uid="{1435DF62-F4EF-46E0-894A-3AC1D379D30C}"/>
  </bookViews>
  <sheets>
    <sheet name="Main" sheetId="1" r:id="rId1"/>
    <sheet name="soquelitin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1" l="1"/>
  <c r="J6" i="1"/>
</calcChain>
</file>

<file path=xl/sharedStrings.xml><?xml version="1.0" encoding="utf-8"?>
<sst xmlns="http://schemas.openxmlformats.org/spreadsheetml/2006/main" count="36" uniqueCount="36">
  <si>
    <t>Price</t>
  </si>
  <si>
    <t>MC</t>
  </si>
  <si>
    <t>Debt</t>
  </si>
  <si>
    <t>EV</t>
  </si>
  <si>
    <t>Shares</t>
  </si>
  <si>
    <t>Cash</t>
  </si>
  <si>
    <t>Main</t>
  </si>
  <si>
    <t xml:space="preserve">IPO: </t>
  </si>
  <si>
    <t xml:space="preserve">Founded: </t>
  </si>
  <si>
    <t>MOA</t>
  </si>
  <si>
    <t>Indication</t>
  </si>
  <si>
    <t>Phase</t>
  </si>
  <si>
    <t xml:space="preserve">soquelitinib </t>
  </si>
  <si>
    <t>III</t>
  </si>
  <si>
    <t>ciforadenant</t>
  </si>
  <si>
    <t>A2A inhibitor</t>
  </si>
  <si>
    <t>RCC</t>
  </si>
  <si>
    <t>mupadolimab</t>
  </si>
  <si>
    <t>CPI-182</t>
  </si>
  <si>
    <t>CXCR2</t>
  </si>
  <si>
    <t xml:space="preserve">Drug </t>
  </si>
  <si>
    <t xml:space="preserve">ITK inhibitor </t>
  </si>
  <si>
    <t>R/R PTCL, AD</t>
  </si>
  <si>
    <t>Dog Study</t>
  </si>
  <si>
    <t>ITK (interleukin-2 inducible T cell kinase) is expressed by T cells and is involved in both T cell receptor signaling and differentiation of naïve T cells into Th2 cells.</t>
  </si>
  <si>
    <t>Inhibition of ITK preferentially reduces the synthesis of Th2-derived cytokines including IL-4, IL-5, and IL-13. CPI-818 is an oral, selective drug that binds covalently to ITK to inhibit its enzymatic function.</t>
  </si>
  <si>
    <t>It is being evaluated in a single agent, dose-escalation phase 1 trial in patients with refractory T cell lymphoma and demonstrates anti- tumor activity along with evidence of reduction of Th2 cell differentiation and Th2 cytokine production.</t>
  </si>
  <si>
    <t>We have evaluated CPI-818 in spontaneous canine AD (CAD) as a model for human disease.</t>
  </si>
  <si>
    <t>Five dogs with recurrent, moderate to severe CAD were treated with CPI-818 at a dose of 10 to 20 mg/kg BID for up to 28 days.</t>
  </si>
  <si>
    <t>Primary efficacy outcomes were the PVAS (pruritus visual analog scale) and CADLI (canine atopic dermatitis lesion index).</t>
  </si>
  <si>
    <t>All dogs had improvement in the PVAS within 2 days of starting CPI-818.</t>
  </si>
  <si>
    <t xml:space="preserve">Four dogs were evaluable for at least 14 days and showed improvement in PVAS (32 + 16%) (mean + SD). </t>
  </si>
  <si>
    <t>Improvement on Day 28 in PVAS was 34 + 22%.</t>
  </si>
  <si>
    <t>Three of 4 dogs had an improved CADLI on Day 14 and all had improved CADLI (20 + 10% )on Day 28.</t>
  </si>
  <si>
    <t>One dog, whose PVAS on Day 9 had improved 45%, withdrew from study for suspected drug rash; no serious adverse events were encountered.</t>
  </si>
  <si>
    <t>This CAD trial demonstrates that ITK inhibition may represent a novel approach to treatment of atopic diseases with the potential advantage of inhibiting the production of multiple Th2 cytokines.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</si>
</sst>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1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2" fillId="0" borderId="4" xfId="1" applyBorder="1"/>
    <xf numFmtId="0" fontId="0" fillId="0" borderId="0" xfId="0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10</xdr:col>
      <xdr:colOff>462941</xdr:colOff>
      <xdr:row>16</xdr:row>
      <xdr:rowOff>41156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7836C-BE2F-4505-9670-BD14136DE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524000"/>
          <a:ext cx="2901341" cy="15651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19</xdr:col>
      <xdr:colOff>274313</xdr:colOff>
      <xdr:row>22</xdr:row>
      <xdr:rowOff>43714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137CB-0347-4E95-8900-699BEC27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952500"/>
          <a:ext cx="3322313" cy="3282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CBAD-0967-43A6-BFF0-EE657DF84AC2}">
  <dimension ref="A2:J15"/>
  <sheetViews>
    <sheetView workbookViewId="0">
      <selection activeCell="A3" sqref="A3"/>
    </sheetView>
  </sheetViews>
  <sheetFormatPr defaultRowHeight="15" x14ac:dyDescent="0.25"/>
  <cols>
    <col min="1" max="1" width="19.85546875" customWidth="1"/>
    <col min="2" max="2" width="12.28515625" bestFit="1" customWidth="1"/>
    <col min="3" max="3" width="35.5703125" bestFit="1" customWidth="1"/>
  </cols>
  <sheetData>
    <row r="2" spans="1:10" x14ac:dyDescent="0.25">
      <c r="A2" s="7" t="s">
        <v>20</v>
      </c>
      <c r="B2" s="8" t="s">
        <v>9</v>
      </c>
      <c r="C2" s="8" t="s">
        <v>10</v>
      </c>
      <c r="D2" s="9" t="s">
        <v>11</v>
      </c>
      <c r="E2" s="9"/>
      <c r="F2" s="9"/>
      <c r="G2" s="10"/>
    </row>
    <row r="3" spans="1:10" x14ac:dyDescent="0.25">
      <c r="A3" s="11" t="s">
        <v>12</v>
      </c>
      <c r="B3" t="s">
        <v>21</v>
      </c>
      <c r="C3" t="s">
        <v>22</v>
      </c>
      <c r="D3" s="12" t="s">
        <v>13</v>
      </c>
      <c r="E3" s="12"/>
      <c r="F3" s="12"/>
      <c r="G3" s="13"/>
    </row>
    <row r="4" spans="1:10" x14ac:dyDescent="0.25">
      <c r="A4" s="14" t="s">
        <v>14</v>
      </c>
      <c r="B4" t="s">
        <v>15</v>
      </c>
      <c r="C4" t="s">
        <v>16</v>
      </c>
      <c r="D4" s="12"/>
      <c r="E4" s="12"/>
      <c r="F4" s="12"/>
      <c r="G4" s="13"/>
      <c r="I4" s="4" t="s">
        <v>0</v>
      </c>
      <c r="J4">
        <v>6.75</v>
      </c>
    </row>
    <row r="5" spans="1:10" x14ac:dyDescent="0.25">
      <c r="A5" s="14" t="s">
        <v>17</v>
      </c>
      <c r="D5" s="12"/>
      <c r="E5" s="12"/>
      <c r="F5" s="12"/>
      <c r="G5" s="13"/>
      <c r="I5" s="4" t="s">
        <v>4</v>
      </c>
      <c r="J5">
        <v>74.7</v>
      </c>
    </row>
    <row r="6" spans="1:10" s="1" customFormat="1" x14ac:dyDescent="0.25">
      <c r="A6" s="14" t="s">
        <v>18</v>
      </c>
      <c r="B6"/>
      <c r="C6" t="s">
        <v>19</v>
      </c>
      <c r="D6" s="12"/>
      <c r="E6" s="12"/>
      <c r="F6" s="12"/>
      <c r="G6" s="13"/>
      <c r="I6" s="5" t="s">
        <v>1</v>
      </c>
      <c r="J6" s="1">
        <f>+J5*J4</f>
        <v>504.22500000000002</v>
      </c>
    </row>
    <row r="7" spans="1:10" s="1" customFormat="1" x14ac:dyDescent="0.25">
      <c r="A7" s="15"/>
      <c r="B7" s="16"/>
      <c r="C7" s="16"/>
      <c r="D7" s="17"/>
      <c r="E7" s="17"/>
      <c r="F7" s="17"/>
      <c r="G7" s="18"/>
      <c r="I7" s="6" t="s">
        <v>5</v>
      </c>
      <c r="J7" s="1">
        <v>67</v>
      </c>
    </row>
    <row r="8" spans="1:10" x14ac:dyDescent="0.25">
      <c r="I8" s="4" t="s">
        <v>2</v>
      </c>
      <c r="J8" s="2">
        <v>0</v>
      </c>
    </row>
    <row r="9" spans="1:10" x14ac:dyDescent="0.25">
      <c r="I9" s="4" t="s">
        <v>3</v>
      </c>
      <c r="J9">
        <f>+J6-J7+J8</f>
        <v>437.22500000000002</v>
      </c>
    </row>
    <row r="14" spans="1:10" x14ac:dyDescent="0.25">
      <c r="I14" t="s">
        <v>7</v>
      </c>
      <c r="J14">
        <v>2016</v>
      </c>
    </row>
    <row r="15" spans="1:10" x14ac:dyDescent="0.25">
      <c r="I15" t="s">
        <v>8</v>
      </c>
      <c r="J15">
        <v>2014</v>
      </c>
    </row>
  </sheetData>
  <hyperlinks>
    <hyperlink ref="A3" location="soquelitinib!A1" display="soquelitinib " xr:uid="{FCD7279A-E8AA-4786-BD2E-BAF728050E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DA92-A153-4477-B38C-A5E0A16C8A22}">
  <dimension ref="A1:F34"/>
  <sheetViews>
    <sheetView tabSelected="1" topLeftCell="A8" workbookViewId="0">
      <selection activeCell="F21" sqref="F21"/>
    </sheetView>
  </sheetViews>
  <sheetFormatPr defaultRowHeight="15" x14ac:dyDescent="0.25"/>
  <cols>
    <col min="6" max="6" width="214.28515625" bestFit="1" customWidth="1"/>
  </cols>
  <sheetData>
    <row r="1" spans="1:1" x14ac:dyDescent="0.25">
      <c r="A1" s="3" t="s">
        <v>6</v>
      </c>
    </row>
    <row r="21" spans="6:6" x14ac:dyDescent="0.25">
      <c r="F21" s="19" t="s">
        <v>23</v>
      </c>
    </row>
    <row r="22" spans="6:6" x14ac:dyDescent="0.25">
      <c r="F22" s="20"/>
    </row>
    <row r="23" spans="6:6" x14ac:dyDescent="0.25">
      <c r="F23" t="s">
        <v>24</v>
      </c>
    </row>
    <row r="24" spans="6:6" x14ac:dyDescent="0.25">
      <c r="F24" t="s">
        <v>25</v>
      </c>
    </row>
    <row r="25" spans="6:6" x14ac:dyDescent="0.25">
      <c r="F25" t="s">
        <v>26</v>
      </c>
    </row>
    <row r="26" spans="6:6" x14ac:dyDescent="0.25">
      <c r="F26" t="s">
        <v>27</v>
      </c>
    </row>
    <row r="27" spans="6:6" x14ac:dyDescent="0.25">
      <c r="F27" t="s">
        <v>28</v>
      </c>
    </row>
    <row r="28" spans="6:6" x14ac:dyDescent="0.25">
      <c r="F28" t="s">
        <v>29</v>
      </c>
    </row>
    <row r="29" spans="6:6" x14ac:dyDescent="0.25">
      <c r="F29" t="s">
        <v>30</v>
      </c>
    </row>
    <row r="30" spans="6:6" x14ac:dyDescent="0.25">
      <c r="F30" t="s">
        <v>31</v>
      </c>
    </row>
    <row r="31" spans="6:6" x14ac:dyDescent="0.25">
      <c r="F31" t="s">
        <v>32</v>
      </c>
    </row>
    <row r="32" spans="6:6" x14ac:dyDescent="0.25">
      <c r="F32" t="s">
        <v>33</v>
      </c>
    </row>
    <row r="33" spans="6:6" x14ac:dyDescent="0.25">
      <c r="F33" t="s">
        <v>34</v>
      </c>
    </row>
    <row r="34" spans="6:6" x14ac:dyDescent="0.25">
      <c r="F34" t="s">
        <v>35</v>
      </c>
    </row>
  </sheetData>
  <hyperlinks>
    <hyperlink ref="A1" location="Main!A1" display="Main" xr:uid="{A747C567-B313-49AE-8291-7F67C30836C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soquelitinib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Valand</dc:creator>
  <cp:lastModifiedBy>Michael Valand</cp:lastModifiedBy>
  <dcterms:created xsi:type="dcterms:W3CDTF">2026-01-10T20:26:26Z</dcterms:created>
  <dcterms:modified xsi:type="dcterms:W3CDTF">2026-01-10T21:43:25Z</dcterms:modified>
</cp:coreProperties>
</file>